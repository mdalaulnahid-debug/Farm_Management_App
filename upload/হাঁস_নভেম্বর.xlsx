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Agriculture Farm\Duck\November 2026\"/>
    </mc:Choice>
  </mc:AlternateContent>
  <xr:revisionPtr revIDLastSave="0" documentId="13_ncr:1_{A1AFE47B-37BB-4DB5-A30F-A2561A17C3B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আয় ও ব্যয় নভেম্বর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0" i="1" l="1"/>
  <c r="X19" i="1"/>
  <c r="X18" i="1"/>
  <c r="X17" i="1"/>
  <c r="E21" i="1"/>
  <c r="F21" i="1"/>
  <c r="G21" i="1"/>
  <c r="H21" i="1"/>
  <c r="I21" i="1"/>
  <c r="K21" i="1"/>
  <c r="M21" i="1"/>
  <c r="N21" i="1"/>
  <c r="O21" i="1"/>
  <c r="P21" i="1"/>
  <c r="Q21" i="1"/>
  <c r="S21" i="1"/>
  <c r="T21" i="1"/>
  <c r="Y21" i="1"/>
  <c r="D9" i="1"/>
  <c r="R18" i="1"/>
  <c r="R19" i="1"/>
  <c r="R16" i="1"/>
  <c r="O16" i="1"/>
  <c r="O17" i="1"/>
  <c r="Q17" i="1" s="1"/>
  <c r="S17" i="1" s="1"/>
  <c r="O18" i="1"/>
  <c r="Q18" i="1" s="1"/>
  <c r="S18" i="1" s="1"/>
  <c r="O19" i="1"/>
  <c r="Q19" i="1" s="1"/>
  <c r="S19" i="1" s="1"/>
  <c r="O20" i="1"/>
  <c r="Q20" i="1" s="1"/>
  <c r="S20" i="1" s="1"/>
  <c r="Q16" i="1"/>
  <c r="S16" i="1" s="1"/>
  <c r="L17" i="1"/>
  <c r="L18" i="1"/>
  <c r="X16" i="1"/>
  <c r="L16" i="1" s="1"/>
  <c r="C21" i="1"/>
  <c r="J17" i="1"/>
  <c r="J18" i="1"/>
  <c r="J19" i="1"/>
  <c r="J20" i="1"/>
  <c r="V17" i="1"/>
  <c r="V18" i="1"/>
  <c r="V19" i="1"/>
  <c r="V20" i="1"/>
  <c r="V16" i="1"/>
  <c r="W16" i="1" s="1"/>
  <c r="D18" i="1"/>
  <c r="D19" i="1"/>
  <c r="D20" i="1"/>
  <c r="D17" i="1"/>
  <c r="J16" i="1"/>
  <c r="D5" i="1"/>
  <c r="R17" i="1" s="1"/>
  <c r="D16" i="1"/>
  <c r="D21" i="1" s="1"/>
  <c r="AA16" i="1" l="1"/>
  <c r="U17" i="1" s="1"/>
  <c r="W17" i="1" s="1"/>
  <c r="AA17" i="1" s="1"/>
  <c r="Z21" i="1"/>
  <c r="L21" i="1"/>
  <c r="J21" i="1"/>
  <c r="X21" i="1"/>
  <c r="V21" i="1"/>
  <c r="D10" i="1"/>
  <c r="U18" i="1" l="1"/>
  <c r="W18" i="1" s="1"/>
  <c r="R20" i="1"/>
  <c r="AA18" i="1" l="1"/>
  <c r="U19" i="1" s="1"/>
  <c r="W19" i="1" s="1"/>
  <c r="AA19" i="1" s="1"/>
  <c r="R21" i="1"/>
  <c r="D11" i="1" s="1"/>
  <c r="U20" i="1" l="1"/>
  <c r="W20" i="1" l="1"/>
  <c r="AA20" i="1" s="1"/>
  <c r="U21" i="1"/>
  <c r="W21" i="1" l="1"/>
</calcChain>
</file>

<file path=xl/sharedStrings.xml><?xml version="1.0" encoding="utf-8"?>
<sst xmlns="http://schemas.openxmlformats.org/spreadsheetml/2006/main" count="49" uniqueCount="47">
  <si>
    <t>ডিমের সংখ্যা</t>
  </si>
  <si>
    <t>বিক্রয়মুল্য</t>
  </si>
  <si>
    <t>ডিমের বিক্রয়মূল্য</t>
  </si>
  <si>
    <t>বাকি</t>
  </si>
  <si>
    <t>গত মাসের বকেয়া</t>
  </si>
  <si>
    <t>নগদ অনুদান</t>
  </si>
  <si>
    <t>আয়</t>
  </si>
  <si>
    <t>ব্যয়</t>
  </si>
  <si>
    <t>মজুদ খাবারের পরিমাণ</t>
  </si>
  <si>
    <t>মোট ব্যয়</t>
  </si>
  <si>
    <t>নগদ প্রাপ্তি</t>
  </si>
  <si>
    <t>তারিখ</t>
  </si>
  <si>
    <t>শামুক</t>
  </si>
  <si>
    <t>ঔষধ</t>
  </si>
  <si>
    <t>ফিড খাবার</t>
  </si>
  <si>
    <t>ডিমের মজুদ</t>
  </si>
  <si>
    <t xml:space="preserve">বিক্রিত </t>
  </si>
  <si>
    <t>মজুদ</t>
  </si>
  <si>
    <t>অনুদান</t>
  </si>
  <si>
    <t>২৭/১০/২৬</t>
  </si>
  <si>
    <t>২৮/১০/২৭</t>
  </si>
  <si>
    <t>নষ্ট ও অন্যান্য</t>
  </si>
  <si>
    <t>পূর্বের মজুদ</t>
  </si>
  <si>
    <t>29/10/26</t>
  </si>
  <si>
    <t>৩০/১০/২৬</t>
  </si>
  <si>
    <t>৩১/১০/২৬</t>
  </si>
  <si>
    <t>মোট বিক্রিত ডিম</t>
  </si>
  <si>
    <t>নগদ হিসাব</t>
  </si>
  <si>
    <t xml:space="preserve">নগদ </t>
  </si>
  <si>
    <t>বর্তমান মজুদ</t>
  </si>
  <si>
    <t>অন্যান্য খরচ(যাতায়ত, পরিবহন, পলি)</t>
  </si>
  <si>
    <t>ডিসকাউন্ট</t>
  </si>
  <si>
    <t>প্রকৃত প্রাপ্তি</t>
  </si>
  <si>
    <t>বাকী</t>
  </si>
  <si>
    <t>মোট</t>
  </si>
  <si>
    <t>মাস শেষে হাতে নগদ</t>
  </si>
  <si>
    <t>অন্যান্য মাসিক খরচ</t>
  </si>
  <si>
    <t xml:space="preserve">বকেয়া </t>
  </si>
  <si>
    <t>গত মাসের ব্যালেন্স</t>
  </si>
  <si>
    <t>পূর্বের বকেয়া আদায়</t>
  </si>
  <si>
    <t>ইনপুট প্যানেল</t>
  </si>
  <si>
    <t>উৎপাদিত ডিমের সংখ্যা</t>
  </si>
  <si>
    <t>বিক্রিত ডিমের সংখ্যা</t>
  </si>
  <si>
    <t>অবিক্রিত ডিমের সংখ্যা</t>
  </si>
  <si>
    <t>নগদ বিক্রি</t>
  </si>
  <si>
    <t>বাকি বিক্রি</t>
  </si>
  <si>
    <t>প্রাপ্ত ডিমের সংখ্যা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</si>
</sst>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5000445]0"/>
    <numFmt numFmtId="165" formatCode="_(* #,##0_);_(* \(#,##0\);_(* &quot;-&quot;??_);_(@_)"/>
    <numFmt numFmtId="166" formatCode="[$-5000000]mm/dd/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Nikosh"/>
    </font>
    <font>
      <sz val="11"/>
      <color theme="1"/>
      <name val="NikoshBAN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NikoshBAN"/>
    </font>
    <font>
      <b/>
      <sz val="16"/>
      <color theme="1"/>
      <name val="NikoshBAN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/>
    <xf numFmtId="0" fontId="4" fillId="0" borderId="0" xfId="0" applyFont="1" applyAlignment="1">
      <alignment horizontal="center" vertical="center"/>
    </xf>
    <xf numFmtId="165" fontId="7" fillId="0" borderId="1" xfId="1" applyNumberFormat="1" applyFont="1" applyBorder="1"/>
    <xf numFmtId="43" fontId="7" fillId="0" borderId="1" xfId="1" applyFont="1" applyBorder="1"/>
    <xf numFmtId="43" fontId="7" fillId="0" borderId="0" xfId="1" applyFont="1"/>
    <xf numFmtId="43" fontId="0" fillId="0" borderId="0" xfId="1" applyFont="1"/>
    <xf numFmtId="43" fontId="3" fillId="0" borderId="1" xfId="1" applyFont="1" applyBorder="1"/>
    <xf numFmtId="165" fontId="3" fillId="0" borderId="1" xfId="1" applyNumberFormat="1" applyFont="1" applyBorder="1"/>
    <xf numFmtId="43" fontId="3" fillId="0" borderId="0" xfId="1" applyFont="1" applyBorder="1"/>
    <xf numFmtId="166" fontId="0" fillId="0" borderId="0" xfId="0" applyNumberFormat="1"/>
    <xf numFmtId="14" fontId="3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38" fontId="6" fillId="0" borderId="1" xfId="1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165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ikoshB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ikoshB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376209-50E1-4C55-A615-74A08D748952}" name="Table6" displayName="Table6" ref="B15:D21" totalsRowShown="0" headerRowDxfId="32" headerRowBorderDxfId="36" tableBorderDxfId="37">
  <autoFilter ref="B15:D21" xr:uid="{34376209-50E1-4C55-A615-74A08D748952}"/>
  <tableColumns count="3">
    <tableColumn id="1" xr3:uid="{6AB15DD8-2E53-43CD-B5E1-572CAFA259B3}" name="তারিখ" dataDxfId="35"/>
    <tableColumn id="2" xr3:uid="{4BA953C7-061A-490E-A6DC-193D4073BD26}" name="ডিমের সংখ্যা" dataDxfId="34" dataCellStyle="Comma"/>
    <tableColumn id="3" xr3:uid="{F300507F-373B-40A6-963A-0DBE9190D4E1}" name="বিক্রয়মুল্য" dataDxfId="33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C2E3CD-7EA2-431D-ABDA-64A259CE4F72}" name="Table7" displayName="Table7" ref="F15:J21" totalsRowShown="0" headerRowDxfId="23" dataDxfId="24" headerRowBorderDxfId="30" tableBorderDxfId="31" dataCellStyle="Comma">
  <autoFilter ref="F15:J21" xr:uid="{B1C2E3CD-7EA2-431D-ABDA-64A259CE4F72}"/>
  <tableColumns count="5">
    <tableColumn id="1" xr3:uid="{B7069F71-6D44-4905-A11B-09801929911B}" name="ফিড খাবার" dataDxfId="29" dataCellStyle="Comma"/>
    <tableColumn id="2" xr3:uid="{50EFCD26-11D1-4FA2-BA2B-5FF8D505CE08}" name="শামুক" dataDxfId="28" dataCellStyle="Comma"/>
    <tableColumn id="3" xr3:uid="{91CC3639-1088-4CD0-98C6-91B5F0685DAA}" name="অন্যান্য খরচ(যাতায়ত, পরিবহন, পলি)" dataDxfId="27" dataCellStyle="Comma"/>
    <tableColumn id="4" xr3:uid="{5354936B-EEB3-47AF-9655-DCB901F9CE7E}" name="ঔষধ" dataDxfId="26" dataCellStyle="Comma"/>
    <tableColumn id="5" xr3:uid="{649217AA-1E2C-45F8-A255-8E7A3CC8322D}" name="মোট ব্যয়" dataDxfId="25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D84B87-6021-4182-B75A-4D9546EFA158}" name="Table8" displayName="Table8" ref="L15:S21" totalsRowShown="0" headerRowDxfId="11" dataDxfId="12" headerRowBorderDxfId="21" tableBorderDxfId="22" dataCellStyle="Comma">
  <autoFilter ref="L15:S21" xr:uid="{8AD84B87-6021-4182-B75A-4D9546EFA158}"/>
  <tableColumns count="8">
    <tableColumn id="1" xr3:uid="{71CC8206-6E7D-40E0-A745-7EF716C9F4BC}" name="মোট বিক্রিত ডিম" dataDxfId="20" dataCellStyle="Comma"/>
    <tableColumn id="2" xr3:uid="{C75CF2AC-63FE-4F12-9606-85E95B0D43A8}" name="নগদ " dataDxfId="19" dataCellStyle="Comma"/>
    <tableColumn id="3" xr3:uid="{FCC7F01F-7FB5-4834-A3FB-A9F67D4B9393}" name="বাকি" dataDxfId="18" dataCellStyle="Comma"/>
    <tableColumn id="4" xr3:uid="{8AFCAB98-F054-4327-AEEA-4D1F1983E6DA}" name="নগদ প্রাপ্তি" dataDxfId="17" dataCellStyle="Comma"/>
    <tableColumn id="5" xr3:uid="{42EB1867-D9AF-4722-8EC6-7AF1236F7BCC}" name="ডিসকাউন্ট" dataDxfId="16" dataCellStyle="Comma"/>
    <tableColumn id="6" xr3:uid="{0B0E7D97-E14C-47C5-8889-D132DA5C6C1F}" name="প্রকৃত প্রাপ্তি" dataDxfId="15" dataCellStyle="Comma"/>
    <tableColumn id="7" xr3:uid="{0C5117FC-C8BD-48EF-9003-795B896521BE}" name="বাকী" dataDxfId="14" dataCellStyle="Comma"/>
    <tableColumn id="8" xr3:uid="{CFA8DC81-E4F1-4545-A597-03809BFF2CAA}" name="মোট" dataDxfId="13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744D49-4E0F-44E0-9431-99DE4E077530}" name="Table9" displayName="Table9" ref="U15:AA21" totalsRowShown="0" headerRowDxfId="0" dataDxfId="1" headerRowBorderDxfId="9" tableBorderDxfId="10" dataCellStyle="Comma">
  <autoFilter ref="U15:AA21" xr:uid="{25744D49-4E0F-44E0-9431-99DE4E077530}"/>
  <tableColumns count="7">
    <tableColumn id="1" xr3:uid="{02BFEBC2-88DC-4289-B6FE-ABB6B3C010AE}" name="পূর্বের মজুদ" dataDxfId="8" dataCellStyle="Comma"/>
    <tableColumn id="2" xr3:uid="{29BD78FB-98D6-46E8-9D6B-038EC1D15650}" name="প্রাপ্ত ডিমের সংখ্যা" dataDxfId="7" dataCellStyle="Comma"/>
    <tableColumn id="3" xr3:uid="{6792C033-F832-4D4A-B209-D763FAAD3D2A}" name="বর্তমান মজুদ" dataDxfId="6" dataCellStyle="Comma"/>
    <tableColumn id="4" xr3:uid="{029AB1F0-C43C-4016-9511-C72E35A7DBAB}" name="বিক্রিত " dataDxfId="5" dataCellStyle="Comma"/>
    <tableColumn id="5" xr3:uid="{8A55C051-F2E2-4748-B566-EDAA66AEEB4C}" name="অনুদান" dataDxfId="4" dataCellStyle="Comma"/>
    <tableColumn id="6" xr3:uid="{1E3AB2AB-E440-454A-BB9A-509191B647A5}" name="নষ্ট ও অন্যান্য" dataDxfId="3" dataCellStyle="Comma"/>
    <tableColumn id="7" xr3:uid="{1765D091-B110-4484-9EAC-AB055DE275A2}" name="মজুদ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5"/>
  <sheetViews>
    <sheetView tabSelected="1" topLeftCell="O7" workbookViewId="0">
      <selection activeCell="U15" sqref="U15:AA21"/>
    </sheetView>
  </sheetViews>
  <sheetFormatPr defaultRowHeight="15" x14ac:dyDescent="0.25"/>
  <cols>
    <col min="2" max="2" width="10.42578125" style="23" bestFit="1" customWidth="1"/>
    <col min="3" max="3" width="14.28515625" bestFit="1" customWidth="1"/>
    <col min="4" max="4" width="14.5703125" bestFit="1" customWidth="1"/>
    <col min="6" max="6" width="12.28515625" bestFit="1" customWidth="1"/>
    <col min="7" max="7" width="12.85546875" bestFit="1" customWidth="1"/>
    <col min="8" max="8" width="13.85546875" customWidth="1"/>
    <col min="9" max="9" width="11" bestFit="1" customWidth="1"/>
    <col min="10" max="10" width="12.42578125" bestFit="1" customWidth="1"/>
    <col min="12" max="12" width="17.5703125" customWidth="1"/>
    <col min="13" max="13" width="10.42578125" bestFit="1" customWidth="1"/>
    <col min="14" max="14" width="9.5703125" bestFit="1" customWidth="1"/>
    <col min="15" max="15" width="12.28515625" bestFit="1" customWidth="1"/>
    <col min="16" max="16" width="11.7109375" customWidth="1"/>
    <col min="17" max="17" width="12.42578125" bestFit="1" customWidth="1"/>
    <col min="18" max="18" width="14.5703125" bestFit="1" customWidth="1"/>
    <col min="19" max="19" width="12.42578125" bestFit="1" customWidth="1"/>
    <col min="21" max="21" width="12.42578125" customWidth="1"/>
    <col min="22" max="22" width="17.7109375" customWidth="1"/>
    <col min="23" max="23" width="13.85546875" customWidth="1"/>
    <col min="24" max="24" width="10.85546875" bestFit="1" customWidth="1"/>
    <col min="25" max="25" width="9.140625" customWidth="1"/>
    <col min="26" max="26" width="14.42578125" customWidth="1"/>
    <col min="27" max="27" width="11" customWidth="1"/>
  </cols>
  <sheetData>
    <row r="2" spans="2:27" ht="15.75" thickBot="1" x14ac:dyDescent="0.3"/>
    <row r="3" spans="2:27" ht="38.25" thickBot="1" x14ac:dyDescent="0.3">
      <c r="C3" s="18" t="s">
        <v>38</v>
      </c>
      <c r="D3" s="19">
        <v>-5410</v>
      </c>
      <c r="H3" s="31" t="s">
        <v>40</v>
      </c>
      <c r="I3" s="32"/>
      <c r="J3" s="32"/>
      <c r="K3" s="32"/>
      <c r="L3" s="33"/>
    </row>
    <row r="4" spans="2:27" ht="37.5" x14ac:dyDescent="0.25">
      <c r="C4" s="18" t="s">
        <v>2</v>
      </c>
      <c r="D4" s="20">
        <v>16</v>
      </c>
      <c r="H4" s="38" t="s">
        <v>11</v>
      </c>
      <c r="I4" s="39"/>
      <c r="J4" s="39"/>
      <c r="K4" s="40"/>
      <c r="L4" s="41"/>
    </row>
    <row r="5" spans="2:27" ht="37.5" x14ac:dyDescent="0.25">
      <c r="C5" s="18" t="s">
        <v>4</v>
      </c>
      <c r="D5" s="20">
        <f>2680+800</f>
        <v>3480</v>
      </c>
      <c r="H5" s="34" t="s">
        <v>41</v>
      </c>
      <c r="I5" s="35"/>
      <c r="J5" s="35"/>
      <c r="K5" s="36"/>
      <c r="L5" s="37"/>
    </row>
    <row r="6" spans="2:27" ht="19.5" x14ac:dyDescent="0.25">
      <c r="C6" s="21" t="s">
        <v>5</v>
      </c>
      <c r="D6" s="20">
        <v>15000</v>
      </c>
      <c r="H6" s="34" t="s">
        <v>42</v>
      </c>
      <c r="I6" s="35"/>
      <c r="J6" s="35"/>
      <c r="K6" s="36"/>
      <c r="L6" s="37"/>
    </row>
    <row r="7" spans="2:27" ht="37.5" x14ac:dyDescent="0.25">
      <c r="C7" s="18" t="s">
        <v>8</v>
      </c>
      <c r="D7" s="22">
        <v>11425</v>
      </c>
      <c r="H7" s="34" t="s">
        <v>43</v>
      </c>
      <c r="I7" s="35"/>
      <c r="J7" s="35"/>
      <c r="K7" s="36"/>
      <c r="L7" s="37"/>
    </row>
    <row r="8" spans="2:27" ht="37.5" x14ac:dyDescent="0.25">
      <c r="C8" s="18" t="s">
        <v>36</v>
      </c>
      <c r="D8" s="22">
        <v>7000</v>
      </c>
      <c r="H8" s="34" t="s">
        <v>21</v>
      </c>
      <c r="I8" s="35"/>
      <c r="J8" s="35"/>
      <c r="K8" s="36"/>
      <c r="L8" s="37"/>
    </row>
    <row r="9" spans="2:27" ht="37.5" x14ac:dyDescent="0.25">
      <c r="C9" s="18" t="s">
        <v>39</v>
      </c>
      <c r="D9" s="20">
        <f>2680+800</f>
        <v>3480</v>
      </c>
      <c r="H9" s="34" t="s">
        <v>44</v>
      </c>
      <c r="I9" s="35"/>
      <c r="J9" s="35"/>
      <c r="K9" s="36"/>
      <c r="L9" s="37"/>
    </row>
    <row r="10" spans="2:27" ht="37.5" x14ac:dyDescent="0.25">
      <c r="C10" s="18" t="s">
        <v>35</v>
      </c>
      <c r="D10" s="20">
        <f>D3+Q21+D6+D9-D8-J21</f>
        <v>15897</v>
      </c>
      <c r="H10" s="34" t="s">
        <v>45</v>
      </c>
      <c r="I10" s="35"/>
      <c r="J10" s="35"/>
      <c r="K10" s="36"/>
      <c r="L10" s="37"/>
    </row>
    <row r="11" spans="2:27" ht="19.5" x14ac:dyDescent="0.25">
      <c r="C11" s="18" t="s">
        <v>37</v>
      </c>
      <c r="D11" s="20">
        <f>R21</f>
        <v>463432</v>
      </c>
    </row>
    <row r="12" spans="2:27" ht="15.75" x14ac:dyDescent="0.3">
      <c r="D12" s="3"/>
    </row>
    <row r="14" spans="2:27" ht="23.25" x14ac:dyDescent="0.25">
      <c r="B14" s="42" t="s">
        <v>6</v>
      </c>
      <c r="C14" s="43"/>
      <c r="D14" s="44"/>
      <c r="F14" s="30" t="s">
        <v>7</v>
      </c>
      <c r="G14" s="30"/>
      <c r="H14" s="30"/>
      <c r="I14" s="30"/>
      <c r="J14" s="30"/>
      <c r="L14" s="30" t="s">
        <v>27</v>
      </c>
      <c r="M14" s="30"/>
      <c r="N14" s="30"/>
      <c r="O14" s="30"/>
      <c r="P14" s="30"/>
      <c r="Q14" s="30"/>
      <c r="R14" s="30"/>
      <c r="S14" s="5"/>
      <c r="T14" s="8"/>
      <c r="U14" s="42" t="s">
        <v>15</v>
      </c>
      <c r="V14" s="43"/>
      <c r="W14" s="43"/>
      <c r="X14" s="43"/>
      <c r="Y14" s="43"/>
      <c r="Z14" s="43"/>
      <c r="AA14" s="44"/>
    </row>
    <row r="15" spans="2:27" s="4" customFormat="1" ht="65.25" customHeight="1" x14ac:dyDescent="0.25">
      <c r="B15" s="45" t="s">
        <v>11</v>
      </c>
      <c r="C15" s="45" t="s">
        <v>0</v>
      </c>
      <c r="D15" s="45" t="s">
        <v>1</v>
      </c>
      <c r="E15" s="6"/>
      <c r="F15" s="45" t="s">
        <v>14</v>
      </c>
      <c r="G15" s="46" t="s">
        <v>12</v>
      </c>
      <c r="H15" s="46" t="s">
        <v>30</v>
      </c>
      <c r="I15" s="45" t="s">
        <v>13</v>
      </c>
      <c r="J15" s="45" t="s">
        <v>9</v>
      </c>
      <c r="L15" s="46" t="s">
        <v>26</v>
      </c>
      <c r="M15" s="45" t="s">
        <v>28</v>
      </c>
      <c r="N15" s="45" t="s">
        <v>3</v>
      </c>
      <c r="O15" s="46" t="s">
        <v>10</v>
      </c>
      <c r="P15" s="46" t="s">
        <v>31</v>
      </c>
      <c r="Q15" s="45" t="s">
        <v>32</v>
      </c>
      <c r="R15" s="45" t="s">
        <v>33</v>
      </c>
      <c r="S15" s="45" t="s">
        <v>34</v>
      </c>
      <c r="T15" s="6"/>
      <c r="U15" s="46" t="s">
        <v>22</v>
      </c>
      <c r="V15" s="46" t="s">
        <v>46</v>
      </c>
      <c r="W15" s="46" t="s">
        <v>29</v>
      </c>
      <c r="X15" s="45" t="s">
        <v>16</v>
      </c>
      <c r="Y15" s="45" t="s">
        <v>18</v>
      </c>
      <c r="Z15" s="46" t="s">
        <v>21</v>
      </c>
      <c r="AA15" s="45" t="s">
        <v>17</v>
      </c>
    </row>
    <row r="16" spans="2:27" ht="16.5" x14ac:dyDescent="0.3">
      <c r="B16" s="7" t="s">
        <v>19</v>
      </c>
      <c r="C16" s="9">
        <v>4993</v>
      </c>
      <c r="D16" s="10">
        <f>C16*$D$4</f>
        <v>79888</v>
      </c>
      <c r="E16" s="11"/>
      <c r="F16" s="10">
        <v>31505</v>
      </c>
      <c r="G16" s="10">
        <v>23030</v>
      </c>
      <c r="H16" s="10">
        <v>350</v>
      </c>
      <c r="I16" s="10">
        <v>5234</v>
      </c>
      <c r="J16" s="10">
        <f>SUM(F16:I16)</f>
        <v>60119</v>
      </c>
      <c r="K16" s="12"/>
      <c r="L16" s="14">
        <f>X16</f>
        <v>4631</v>
      </c>
      <c r="M16" s="14">
        <v>4229</v>
      </c>
      <c r="N16" s="14">
        <v>402</v>
      </c>
      <c r="O16" s="14">
        <f>(M16*D4)</f>
        <v>67664</v>
      </c>
      <c r="P16" s="14">
        <v>54</v>
      </c>
      <c r="Q16" s="13">
        <f>O16-P16</f>
        <v>67610</v>
      </c>
      <c r="R16" s="13">
        <f>N16*D4</f>
        <v>6432</v>
      </c>
      <c r="S16" s="13">
        <f>Q16</f>
        <v>67610</v>
      </c>
      <c r="T16" s="15"/>
      <c r="U16" s="28">
        <v>0</v>
      </c>
      <c r="V16" s="28">
        <f>C16</f>
        <v>4993</v>
      </c>
      <c r="W16" s="28">
        <f>U16+V16</f>
        <v>4993</v>
      </c>
      <c r="X16" s="28">
        <f>(M16+N16)</f>
        <v>4631</v>
      </c>
      <c r="Y16" s="28">
        <v>362</v>
      </c>
      <c r="Z16" s="29">
        <v>0</v>
      </c>
      <c r="AA16" s="28">
        <f>W16-X16-Y16-Z16</f>
        <v>0</v>
      </c>
    </row>
    <row r="17" spans="2:27" ht="16.5" x14ac:dyDescent="0.3">
      <c r="B17" s="7" t="s">
        <v>20</v>
      </c>
      <c r="C17" s="9">
        <v>151</v>
      </c>
      <c r="D17" s="10">
        <f t="shared" ref="D17:D20" si="0">C17*$D$4</f>
        <v>2416</v>
      </c>
      <c r="E17" s="11"/>
      <c r="F17" s="10"/>
      <c r="G17" s="10">
        <v>900</v>
      </c>
      <c r="H17" s="10"/>
      <c r="I17" s="10"/>
      <c r="J17" s="10">
        <f t="shared" ref="J17:J20" si="1">SUM(F17:I17)</f>
        <v>900</v>
      </c>
      <c r="K17" s="12"/>
      <c r="L17" s="14">
        <f t="shared" ref="L17:L18" si="2">X17</f>
        <v>148</v>
      </c>
      <c r="M17" s="14">
        <v>148</v>
      </c>
      <c r="N17" s="14">
        <v>0</v>
      </c>
      <c r="O17" s="14">
        <f t="shared" ref="O17:O20" si="3">(M17*16)</f>
        <v>2368</v>
      </c>
      <c r="P17" s="14">
        <v>0</v>
      </c>
      <c r="Q17" s="13">
        <f t="shared" ref="Q17:Q20" si="4">O17-P17</f>
        <v>2368</v>
      </c>
      <c r="R17" s="13">
        <f>N17*D5</f>
        <v>0</v>
      </c>
      <c r="S17" s="13">
        <f t="shared" ref="S17:S20" si="5">Q17</f>
        <v>2368</v>
      </c>
      <c r="T17" s="15"/>
      <c r="U17" s="28">
        <f>AA16</f>
        <v>0</v>
      </c>
      <c r="V17" s="28">
        <f>C17</f>
        <v>151</v>
      </c>
      <c r="W17" s="28">
        <f t="shared" ref="W17:W20" si="6">U17+V17</f>
        <v>151</v>
      </c>
      <c r="X17" s="28">
        <f t="shared" ref="X17:X20" si="7">(M17+N17)</f>
        <v>148</v>
      </c>
      <c r="Y17" s="28">
        <v>0</v>
      </c>
      <c r="Z17" s="29">
        <v>0</v>
      </c>
      <c r="AA17" s="28">
        <f t="shared" ref="AA17:AA20" si="8">W17-X17-Y17-Z17</f>
        <v>3</v>
      </c>
    </row>
    <row r="18" spans="2:27" ht="16.5" x14ac:dyDescent="0.3">
      <c r="B18" s="7" t="s">
        <v>23</v>
      </c>
      <c r="C18" s="9">
        <v>152</v>
      </c>
      <c r="D18" s="10">
        <f t="shared" si="0"/>
        <v>2432</v>
      </c>
      <c r="E18" s="11"/>
      <c r="F18" s="10"/>
      <c r="G18" s="10">
        <v>900</v>
      </c>
      <c r="H18" s="10"/>
      <c r="I18" s="10"/>
      <c r="J18" s="10">
        <f t="shared" si="1"/>
        <v>900</v>
      </c>
      <c r="K18" s="12"/>
      <c r="L18" s="14">
        <f t="shared" si="2"/>
        <v>119</v>
      </c>
      <c r="M18" s="14">
        <v>119</v>
      </c>
      <c r="N18" s="14">
        <v>0</v>
      </c>
      <c r="O18" s="14">
        <f t="shared" si="3"/>
        <v>1904</v>
      </c>
      <c r="P18" s="14">
        <v>0</v>
      </c>
      <c r="Q18" s="13">
        <f t="shared" si="4"/>
        <v>1904</v>
      </c>
      <c r="R18" s="13">
        <f>N18*D6</f>
        <v>0</v>
      </c>
      <c r="S18" s="13">
        <f t="shared" si="5"/>
        <v>1904</v>
      </c>
      <c r="T18" s="15"/>
      <c r="U18" s="28">
        <f t="shared" ref="U18:U20" si="9">AA17</f>
        <v>3</v>
      </c>
      <c r="V18" s="28">
        <f>C18</f>
        <v>152</v>
      </c>
      <c r="W18" s="28">
        <f t="shared" si="6"/>
        <v>155</v>
      </c>
      <c r="X18" s="28">
        <f t="shared" si="7"/>
        <v>119</v>
      </c>
      <c r="Y18" s="28">
        <v>36</v>
      </c>
      <c r="Z18" s="29">
        <v>0</v>
      </c>
      <c r="AA18" s="28">
        <f t="shared" si="8"/>
        <v>0</v>
      </c>
    </row>
    <row r="19" spans="2:27" ht="16.5" x14ac:dyDescent="0.3">
      <c r="B19" s="7" t="s">
        <v>24</v>
      </c>
      <c r="C19" s="9">
        <v>144</v>
      </c>
      <c r="D19" s="10">
        <f t="shared" si="0"/>
        <v>2304</v>
      </c>
      <c r="E19" s="11"/>
      <c r="F19" s="10"/>
      <c r="G19" s="10">
        <v>900</v>
      </c>
      <c r="H19" s="10"/>
      <c r="I19" s="10"/>
      <c r="J19" s="10">
        <f t="shared" si="1"/>
        <v>900</v>
      </c>
      <c r="K19" s="12"/>
      <c r="L19" s="14">
        <v>144</v>
      </c>
      <c r="M19" s="14">
        <v>104</v>
      </c>
      <c r="N19" s="14">
        <v>40</v>
      </c>
      <c r="O19" s="14">
        <f t="shared" si="3"/>
        <v>1664</v>
      </c>
      <c r="P19" s="14">
        <v>0</v>
      </c>
      <c r="Q19" s="13">
        <f t="shared" si="4"/>
        <v>1664</v>
      </c>
      <c r="R19" s="13">
        <f>N19*D7</f>
        <v>457000</v>
      </c>
      <c r="S19" s="13">
        <f t="shared" si="5"/>
        <v>1664</v>
      </c>
      <c r="T19" s="15"/>
      <c r="U19" s="28">
        <f t="shared" si="9"/>
        <v>0</v>
      </c>
      <c r="V19" s="28">
        <f>C19</f>
        <v>144</v>
      </c>
      <c r="W19" s="28">
        <f t="shared" si="6"/>
        <v>144</v>
      </c>
      <c r="X19" s="28">
        <f t="shared" si="7"/>
        <v>144</v>
      </c>
      <c r="Y19" s="28">
        <v>0</v>
      </c>
      <c r="Z19" s="29">
        <v>0</v>
      </c>
      <c r="AA19" s="28">
        <f t="shared" si="8"/>
        <v>0</v>
      </c>
    </row>
    <row r="20" spans="2:27" ht="16.5" x14ac:dyDescent="0.3">
      <c r="B20" s="7" t="s">
        <v>25</v>
      </c>
      <c r="C20" s="9"/>
      <c r="D20" s="10">
        <f t="shared" si="0"/>
        <v>0</v>
      </c>
      <c r="E20" s="11"/>
      <c r="F20" s="10"/>
      <c r="G20" s="10">
        <v>900</v>
      </c>
      <c r="H20" s="10"/>
      <c r="I20" s="10"/>
      <c r="J20" s="10">
        <f t="shared" si="1"/>
        <v>900</v>
      </c>
      <c r="K20" s="12"/>
      <c r="L20" s="14"/>
      <c r="M20" s="14"/>
      <c r="N20" s="14"/>
      <c r="O20" s="14">
        <f t="shared" si="3"/>
        <v>0</v>
      </c>
      <c r="P20" s="14"/>
      <c r="Q20" s="13">
        <f t="shared" si="4"/>
        <v>0</v>
      </c>
      <c r="R20" s="13">
        <f>N20*D10</f>
        <v>0</v>
      </c>
      <c r="S20" s="13">
        <f t="shared" si="5"/>
        <v>0</v>
      </c>
      <c r="T20" s="15"/>
      <c r="U20" s="28">
        <f t="shared" si="9"/>
        <v>0</v>
      </c>
      <c r="V20" s="28">
        <f>C20</f>
        <v>0</v>
      </c>
      <c r="W20" s="28">
        <f t="shared" si="6"/>
        <v>0</v>
      </c>
      <c r="X20" s="28">
        <f t="shared" si="7"/>
        <v>0</v>
      </c>
      <c r="Y20" s="28">
        <v>0</v>
      </c>
      <c r="Z20" s="29"/>
      <c r="AA20" s="28">
        <f t="shared" si="8"/>
        <v>0</v>
      </c>
    </row>
    <row r="21" spans="2:27" s="27" customFormat="1" ht="21.75" x14ac:dyDescent="0.4">
      <c r="B21" s="25"/>
      <c r="C21" s="26">
        <f>SUM(C16:C20)</f>
        <v>5440</v>
      </c>
      <c r="D21" s="26">
        <f t="shared" ref="D21:Z21" si="10">SUM(D16:D20)</f>
        <v>87040</v>
      </c>
      <c r="E21" s="26">
        <f t="shared" si="10"/>
        <v>0</v>
      </c>
      <c r="F21" s="26">
        <f t="shared" si="10"/>
        <v>31505</v>
      </c>
      <c r="G21" s="26">
        <f t="shared" si="10"/>
        <v>26630</v>
      </c>
      <c r="H21" s="26">
        <f t="shared" si="10"/>
        <v>350</v>
      </c>
      <c r="I21" s="26">
        <f t="shared" si="10"/>
        <v>5234</v>
      </c>
      <c r="J21" s="26">
        <f t="shared" si="10"/>
        <v>63719</v>
      </c>
      <c r="K21" s="26">
        <f t="shared" si="10"/>
        <v>0</v>
      </c>
      <c r="L21" s="26">
        <f t="shared" si="10"/>
        <v>5042</v>
      </c>
      <c r="M21" s="26">
        <f t="shared" si="10"/>
        <v>4600</v>
      </c>
      <c r="N21" s="26">
        <f t="shared" si="10"/>
        <v>442</v>
      </c>
      <c r="O21" s="26">
        <f t="shared" si="10"/>
        <v>73600</v>
      </c>
      <c r="P21" s="26">
        <f t="shared" si="10"/>
        <v>54</v>
      </c>
      <c r="Q21" s="26">
        <f t="shared" si="10"/>
        <v>73546</v>
      </c>
      <c r="R21" s="26">
        <f t="shared" si="10"/>
        <v>463432</v>
      </c>
      <c r="S21" s="26">
        <f t="shared" si="10"/>
        <v>73546</v>
      </c>
      <c r="T21" s="26">
        <f t="shared" si="10"/>
        <v>0</v>
      </c>
      <c r="U21" s="26">
        <f t="shared" si="10"/>
        <v>3</v>
      </c>
      <c r="V21" s="26">
        <f t="shared" si="10"/>
        <v>5440</v>
      </c>
      <c r="W21" s="26">
        <f t="shared" si="10"/>
        <v>5443</v>
      </c>
      <c r="X21" s="26">
        <f t="shared" si="10"/>
        <v>5042</v>
      </c>
      <c r="Y21" s="26">
        <f t="shared" si="10"/>
        <v>398</v>
      </c>
      <c r="Z21" s="26">
        <f t="shared" si="10"/>
        <v>0</v>
      </c>
      <c r="AA21" s="26"/>
    </row>
    <row r="22" spans="2:27" ht="15.75" x14ac:dyDescent="0.3">
      <c r="B22" s="24"/>
      <c r="C22" s="2"/>
      <c r="D22" s="2"/>
      <c r="E22" s="2"/>
      <c r="F22" s="2"/>
      <c r="G22" s="2"/>
      <c r="H22" s="1"/>
      <c r="I22" s="1"/>
      <c r="J22" s="1"/>
    </row>
    <row r="23" spans="2:27" ht="15.75" x14ac:dyDescent="0.3">
      <c r="B23" s="24"/>
      <c r="C23" s="2"/>
      <c r="D23" s="2"/>
      <c r="E23" s="2"/>
      <c r="F23" s="2"/>
      <c r="G23" s="2"/>
      <c r="H23" s="1"/>
      <c r="I23" s="1"/>
      <c r="J23" s="1"/>
    </row>
    <row r="24" spans="2:27" ht="15.75" x14ac:dyDescent="0.3">
      <c r="B24" s="24"/>
      <c r="C24" s="2"/>
      <c r="D24" s="2"/>
      <c r="E24" s="2"/>
      <c r="F24" s="2"/>
      <c r="G24" s="2"/>
      <c r="H24" s="1"/>
      <c r="I24" s="1"/>
      <c r="J24" s="1"/>
    </row>
    <row r="25" spans="2:27" ht="15.75" x14ac:dyDescent="0.3">
      <c r="B25" s="24"/>
      <c r="C25" s="2"/>
      <c r="D25" s="2"/>
      <c r="E25" s="2"/>
      <c r="F25" s="2"/>
      <c r="G25" s="2"/>
      <c r="H25" s="1"/>
      <c r="I25" s="1"/>
      <c r="J25" s="1"/>
    </row>
  </sheetData>
  <mergeCells count="19">
    <mergeCell ref="K9:L9"/>
    <mergeCell ref="H10:J10"/>
    <mergeCell ref="K10:L10"/>
    <mergeCell ref="U14:AA14"/>
    <mergeCell ref="B14:D14"/>
    <mergeCell ref="F14:J14"/>
    <mergeCell ref="L14:R14"/>
    <mergeCell ref="H3:L3"/>
    <mergeCell ref="H5:J5"/>
    <mergeCell ref="K5:L5"/>
    <mergeCell ref="H4:J4"/>
    <mergeCell ref="K4:L4"/>
    <mergeCell ref="H6:J6"/>
    <mergeCell ref="H7:J7"/>
    <mergeCell ref="H8:J8"/>
    <mergeCell ref="H9:J9"/>
    <mergeCell ref="K6:L6"/>
    <mergeCell ref="K7:L7"/>
    <mergeCell ref="K8:L8"/>
  </mergeCells>
  <phoneticPr fontId="9" type="noConversion"/>
  <pageMargins left="0.7" right="0.7" top="0.75" bottom="0.75" header="0.3" footer="0.3"/>
  <pageSetup orientation="portrait" verticalDpi="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8DF2-0EF7-470F-B53D-3FD2C584A09E}">
  <dimension ref="B5:B6"/>
  <sheetViews>
    <sheetView workbookViewId="0">
      <selection activeCell="B5" sqref="B5"/>
    </sheetView>
  </sheetViews>
  <sheetFormatPr defaultRowHeight="15" x14ac:dyDescent="0.25"/>
  <cols>
    <col min="2" max="2" width="11.85546875" customWidth="1"/>
  </cols>
  <sheetData>
    <row r="5" spans="2:2" ht="15.75" x14ac:dyDescent="0.3">
      <c r="B5" s="17"/>
    </row>
    <row r="6" spans="2:2" x14ac:dyDescent="0.25">
      <c r="B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আয় ও ব্যয় নভেম্বর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2026-10-30T16:18:22Z</dcterms:modified>
</cp:coreProperties>
</file>